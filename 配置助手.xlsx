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智能体配置流程" sheetId="3" r:id="rId1"/>
    <sheet name="sheet2" sheetId="1" r:id="rId2"/>
    <sheet name="WpsReserved_CellImgList" sheetId="4" state="veryHidden" r:id="rId3"/>
  </sheets>
  <definedNames>
    <definedName name="_xlnm._FilterDatabase" localSheetId="1" hidden="1">sheet2!$A$2:$D$53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0B284A7384C458BBD30B3F0AA8CFD82" descr="post_object_image_1489656974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2743200"/>
        </a:xfrm>
        <a:prstGeom prst="rect">
          <a:avLst/>
        </a:prstGeom>
      </xdr:spPr>
    </xdr:pic>
  </etc:cellImage>
  <etc:cellImage>
    <xdr:pic>
      <xdr:nvPicPr>
        <xdr:cNvPr id="3" name="ID_ADB310AE4BA342E39195E063410E8E06" descr="post_object_image_675835310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1089025"/>
        </a:xfrm>
        <a:prstGeom prst="rect">
          <a:avLst/>
        </a:prstGeom>
      </xdr:spPr>
    </xdr:pic>
  </etc:cellImage>
  <etc:cellImage>
    <xdr:pic>
      <xdr:nvPicPr>
        <xdr:cNvPr id="4" name="ID_968E30DC30214FCAAAA284D73F4E0840" descr="post_object_image_115605892"/>
        <xdr:cNvPicPr/>
      </xdr:nvPicPr>
      <xdr:blipFill>
        <a:blip r:embed="rId3"/>
        <a:stretch>
          <a:fillRect/>
        </a:stretch>
      </xdr:blipFill>
      <xdr:spPr>
        <a:xfrm>
          <a:off x="0" y="0"/>
          <a:ext cx="5852160" cy="6659880"/>
        </a:xfrm>
        <a:prstGeom prst="rect">
          <a:avLst/>
        </a:prstGeom>
      </xdr:spPr>
    </xdr:pic>
  </etc:cellImage>
  <etc:cellImage>
    <xdr:pic>
      <xdr:nvPicPr>
        <xdr:cNvPr id="5" name="ID_43E3D591C4A9407AB34A5C0C6704FD60" descr="post_object_image_1033907621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2327275"/>
        </a:xfrm>
        <a:prstGeom prst="rect">
          <a:avLst/>
        </a:prstGeom>
      </xdr:spPr>
    </xdr:pic>
  </etc:cellImage>
  <etc:cellImage>
    <xdr:pic>
      <xdr:nvPicPr>
        <xdr:cNvPr id="6" name="ID_895AE1E39B2A46AFACD286C9091571E5" descr="post_object_image_1483731598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1354455"/>
        </a:xfrm>
        <a:prstGeom prst="rect">
          <a:avLst/>
        </a:prstGeom>
      </xdr:spPr>
    </xdr:pic>
  </etc:cellImage>
  <etc:cellImage>
    <xdr:pic>
      <xdr:nvPicPr>
        <xdr:cNvPr id="7" name="ID_7773634CA6EE435EBCF400FE01FB39A6" descr="post_object_image_1437748671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3054350"/>
        </a:xfrm>
        <a:prstGeom prst="rect">
          <a:avLst/>
        </a:prstGeom>
      </xdr:spPr>
    </xdr:pic>
  </etc:cellImage>
  <etc:cellImage>
    <xdr:pic>
      <xdr:nvPicPr>
        <xdr:cNvPr id="10" name="ID_11FF45B4881643A7BA278E8A627156B4" descr="post_object_image_4146293548"/>
        <xdr:cNvPicPr/>
      </xdr:nvPicPr>
      <xdr:blipFill>
        <a:blip r:embed="rId7"/>
        <a:stretch>
          <a:fillRect/>
        </a:stretch>
      </xdr:blipFill>
      <xdr:spPr>
        <a:xfrm>
          <a:off x="0" y="0"/>
          <a:ext cx="6888480" cy="6164580"/>
        </a:xfrm>
        <a:prstGeom prst="rect">
          <a:avLst/>
        </a:prstGeom>
      </xdr:spPr>
    </xdr:pic>
  </etc:cellImage>
  <etc:cellImage>
    <xdr:pic>
      <xdr:nvPicPr>
        <xdr:cNvPr id="11" name="ID_20D1F4D7AA8D4EECBBD14EE794CD5C8A" descr="post_object_image_635669467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316103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<sst xmlns="http://schemas.openxmlformats.org/spreadsheetml/2006/main" count="127" uniqueCount="121">
  <si>
    <t>L4流程</t>
  </si>
  <si>
    <t>L5活动</t>
  </si>
  <si>
    <t>L6任务</t>
  </si>
  <si>
    <t>角色</t>
  </si>
  <si>
    <t>输入</t>
  </si>
  <si>
    <t>输出</t>
  </si>
  <si>
    <t>配置Agent</t>
  </si>
  <si>
    <t>备注</t>
  </si>
  <si>
    <t>创建配置BOM</t>
  </si>
  <si>
    <t>上传EXCEL（各种变体BOM的EXCEL）</t>
  </si>
  <si>
    <t>10份BOM(同一产品型号，因客户需求不同配置的BOM)</t>
  </si>
  <si>
    <t>临时存储BOM数据、</t>
  </si>
  <si>
    <t>1.识别参数</t>
  </si>
  <si>
    <t>1.反向推断出导致物料、数量变化的核心参数2.识别参数的可选值/取值范围</t>
  </si>
  <si>
    <t>BOM临时数据</t>
  </si>
  <si>
    <t>电量、冷却方式、附加功能、电芯模组、额定电流、箱体规格</t>
  </si>
  <si>
    <t>2.识别可配置模块</t>
  </si>
  <si>
    <t>1.识别通用模块2.识别可变模块3.标记可配组件</t>
  </si>
  <si>
    <t>【L2】 MOD-SYS-001 电芯模组系统（可配置模块） 
【L2】 TMS-SYS-001 热管理系统（可配置模块）   
【L2】 PDU-SYS-001 高压配电系统（可配置模块）   
【L2】 BMS-SYS-001 电池管理系统（可配置模块）   
【L2】 BOX-SYS-001 箱体结构系统（可配置模块）
【L2】 AUX-SYS-001 低压辅件系统（不可配置模块）</t>
  </si>
  <si>
    <t>3.识别物料归集</t>
  </si>
  <si>
    <t>1.物料挂载到对应模块
2.给每个物料自动打标签（通用件、互斥件、可选件、参数数量件）</t>
  </si>
  <si>
    <r>
      <rPr>
        <sz val="10"/>
        <color rgb="FF000000"/>
        <rFont val="微软雅黑"/>
        <charset val="134"/>
      </rPr>
      <t xml:space="preserve">【L3】 COL-LIQ-001 液冷组件、【L3】 COL-AIR-001 风冷组件    </t>
    </r>
    <r>
      <rPr>
        <sz val="10"/>
        <color rgb="FFFF0000"/>
        <rFont val="微软雅黑"/>
        <charset val="134"/>
      </rPr>
      <t>互斥件</t>
    </r>
    <r>
      <rPr>
        <sz val="10"/>
        <color rgb="FF000000"/>
        <rFont val="微软雅黑"/>
        <charset val="134"/>
      </rPr>
      <t xml:space="preserve">
【L4 组件级】 BOX-BOT-S 短款下箱体（140kWh）、【L4 组件级】 BOX-BOT-L 长款下箱体（280kWh）   </t>
    </r>
    <r>
      <rPr>
        <sz val="10"/>
        <color rgb="FFFF0000"/>
        <rFont val="微软雅黑"/>
        <charset val="134"/>
      </rPr>
      <t>互斥件</t>
    </r>
    <r>
      <rPr>
        <sz val="10"/>
        <color rgb="FF000000"/>
        <rFont val="微软雅黑"/>
        <charset val="134"/>
      </rPr>
      <t xml:space="preserve">
【L3】 MOD-35S16 标准电芯模组      </t>
    </r>
    <r>
      <rPr>
        <sz val="10"/>
        <color rgb="FFFF0000"/>
        <rFont val="微软雅黑"/>
        <charset val="134"/>
      </rPr>
      <t>参数数量件</t>
    </r>
    <r>
      <rPr>
        <sz val="10"/>
        <color rgb="FF000000"/>
        <rFont val="微软雅黑"/>
        <charset val="134"/>
      </rPr>
      <t xml:space="preserve">
【L4】 HEAT-PTC-001 液冷PTC加热器     </t>
    </r>
    <r>
      <rPr>
        <sz val="10"/>
        <color rgb="FFFF0000"/>
        <rFont val="微软雅黑"/>
        <charset val="134"/>
      </rPr>
      <t>可选件</t>
    </r>
  </si>
  <si>
    <t>4.识别配置规则</t>
  </si>
  <si>
    <t>1.顶层全局约束提取
2.模块级规则提取
3.BOM行级规则提取</t>
  </si>
  <si>
    <t>1.取得全局规则
【全局规则1】[约束规则]（280kWh必选配液冷）
【全局规则2】[互斥规则]（风冷不能选低温加热）
【全局规则3】[计算规则]（根据电量计算电芯模组、电量、箱体规格）
电芯模组：如果电量140kWh则4；如果电量280kWh则8
额定电流：如果电量140kWh则400A；如果电量280kWh则200A
箱体规格：如果电量140kWh则Short；如果电量280kWh则Long
2.取得模块规则
【模块规则】冷却方式='液冷'
【模块规则】冷却方式='风冷'
3.取得BOM行规则
【BOM行规则】附加功能=低温加热
【BOM行规则】额定电流=400A
【BOM行规则】额定电流=200A
【BOM行规则】附加功能=云端通讯
【BOM行规则】箱体规格=Short
【BOM行规则】箱体规格=Long</t>
  </si>
  <si>
    <t>5.识别配置BOM</t>
  </si>
  <si>
    <t>模块层级+全量物料归集+三层规则</t>
  </si>
  <si>
    <t>参数+模块层级+物料+规则</t>
  </si>
  <si>
    <t>6.产生配置BOM初稿</t>
  </si>
  <si>
    <r>
      <rPr>
        <sz val="10"/>
        <color rgb="FF000000"/>
        <rFont val="微软雅黑"/>
        <charset val="134"/>
      </rPr>
      <t>6.1参数自动录入</t>
    </r>
    <r>
      <rPr>
        <sz val="10"/>
        <color rgb="FF00B0F0"/>
        <rFont val="微软雅黑"/>
        <charset val="134"/>
      </rPr>
      <t>（自动产生）</t>
    </r>
  </si>
  <si>
    <t>STEP1结果</t>
  </si>
  <si>
    <t>后台运行</t>
  </si>
  <si>
    <t>6.2产生单层BOM.包括L1/L2,L2/L3,L3/L4的单层层级BOM均需要产生（自动产生）</t>
  </si>
  <si>
    <t>step5结果</t>
  </si>
  <si>
    <t>6.3规则推荐到BOM头或BOM的行上（从规则助手获取规则数据，）</t>
  </si>
  <si>
    <t>1.规则助手获取全量规则数据、
2.step6保存好的BOM</t>
  </si>
  <si>
    <r>
      <rPr>
        <sz val="10"/>
        <color rgb="FF000000"/>
        <rFont val="微软雅黑"/>
        <charset val="134"/>
      </rPr>
      <t>6.4规则传递到规则智能体</t>
    </r>
    <r>
      <rPr>
        <sz val="10"/>
        <color rgb="FF00B0F0"/>
        <rFont val="微软雅黑"/>
        <charset val="134"/>
      </rPr>
      <t>（1.agent识别到A规则2.通过数据库未识别到则传递给规则智能体）</t>
    </r>
  </si>
  <si>
    <t>6.3未推荐完成的规则</t>
  </si>
  <si>
    <t>7.确认配置</t>
  </si>
  <si>
    <t>查看配置BOM。如果不正确通过自然语言交付继续修改</t>
  </si>
  <si>
    <t>STEP6</t>
  </si>
  <si>
    <t>确认后的配置BOM</t>
  </si>
  <si>
    <t>组成数量</t>
  </si>
  <si>
    <t>规则【全局约束(挂L1)、模块规则(挂L2或L3)、BOM行规则（挂L3或L4）】</t>
  </si>
  <si>
    <t>【L1】 BAT-PACK-CV-001 电池包</t>
  </si>
  <si>
    <t>【全局规则1】[约束规则]（280kWh必选配液冷）</t>
  </si>
  <si>
    <t>【L2】 MOD-SYS-001 电芯模组系统</t>
  </si>
  <si>
    <t>【全局规则2】[互斥规则]（风冷不能选低温加热）</t>
  </si>
  <si>
    <t>【L3】 MOD-35S16 标准电芯模组</t>
  </si>
  <si>
    <t>1*电芯模组</t>
  </si>
  <si>
    <t>【全局规则3】[计算规则]（根据电量计算电芯模组、电量、箱体规格）</t>
  </si>
  <si>
    <t>【L4】 CELL-280Ah 磷酸铁锂电芯单体</t>
  </si>
  <si>
    <t>电芯模组：如果电量140kWh则4；如果电量280kWh则8</t>
  </si>
  <si>
    <t xml:space="preserve">【L4】 END-PLATE-001 模组端板 </t>
  </si>
  <si>
    <t>额定电流：如果电量140kWh则400A；如果电量280kWh则200A</t>
  </si>
  <si>
    <t xml:space="preserve">【L4】 INSULATOR-001 模组绝缘片 </t>
  </si>
  <si>
    <t>箱体规格：如果电量140kWh则Short；如果电量280kWh则Long</t>
  </si>
  <si>
    <t xml:space="preserve">【L4】 BUS-MOD-001 模组内汇流排 </t>
  </si>
  <si>
    <t xml:space="preserve">【L4】 PAD-TC-001 导热硅胶垫 </t>
  </si>
  <si>
    <t xml:space="preserve">【L4 标准件】 BOLT-M8-20 模组紧固螺栓 </t>
  </si>
  <si>
    <t>【L3】 BUS-MAIN-001 主汇流排</t>
  </si>
  <si>
    <t xml:space="preserve">【L4】 BUS-POS-001 总正铜排 </t>
  </si>
  <si>
    <t xml:space="preserve">【L4】 BUS-NEG-001 总负铜排 </t>
  </si>
  <si>
    <t xml:space="preserve">【L4】 SUPPORT-INS-001 绝缘支撑柱 </t>
  </si>
  <si>
    <t>【L2】 TMS-SYS-001 热管理系统</t>
  </si>
  <si>
    <t>【L3】 COL-LIQ-001 液冷组件</t>
  </si>
  <si>
    <t>【模块规则】冷却方式='液冷'</t>
  </si>
  <si>
    <t xml:space="preserve">【L4】 PLATE-LIQ-001 液冷板本体 </t>
  </si>
  <si>
    <t>【L4】 PUMP-001 电子水泵</t>
  </si>
  <si>
    <t xml:space="preserve">【L4】 TANK-001 膨胀水箱 </t>
  </si>
  <si>
    <t xml:space="preserve">【L4】 CONN-QC-001 快插接头 </t>
  </si>
  <si>
    <t xml:space="preserve">【L4 标准件】 ORING-15 密封O型圈 </t>
  </si>
  <si>
    <t xml:space="preserve">【L4】 BRACKET-PUMP 水泵固定支架 </t>
  </si>
  <si>
    <t xml:space="preserve">【L4】 HEAT-PTC-001 液冷PTC加热器 </t>
  </si>
  <si>
    <t>【BOM行规则】附加功能=低温加热</t>
  </si>
  <si>
    <t>【L3】 COL-AIR-001 风冷组件</t>
  </si>
  <si>
    <t>【模块规则】冷却方式='风冷'</t>
  </si>
  <si>
    <t xml:space="preserve">【L4】 FAN-001 轴流散热风扇 </t>
  </si>
  <si>
    <t xml:space="preserve">【L4】 DUCT-AIR-001 导风风道  </t>
  </si>
  <si>
    <t xml:space="preserve">【L4 标准件】 BOLT-M6-16 风扇固定螺栓   </t>
  </si>
  <si>
    <t xml:space="preserve">【L4】 VALVE-001 防水透气阀 </t>
  </si>
  <si>
    <t>【L2】 PDU-SYS-001 高压配电系统</t>
  </si>
  <si>
    <t>【L3】 FUSE-MAIN-SET 主熔断器组件</t>
  </si>
  <si>
    <t xml:space="preserve">【L4】 FUSE-400A 主熔断器 400A </t>
  </si>
  <si>
    <t>【BOM行规则】额定电流=400A</t>
  </si>
  <si>
    <t>【L4】 FUSE-200A 主熔断器 200A</t>
  </si>
  <si>
    <t>【BOM行规则】额定电流=200A</t>
  </si>
  <si>
    <t>【L3】 PRECHARGE-SET 预充回路组件</t>
  </si>
  <si>
    <t>【L4】 RELAY-PRE 预充继电器</t>
  </si>
  <si>
    <t xml:space="preserve">【L4】 RES-PRE 预充电阻 </t>
  </si>
  <si>
    <t>【L3 零件级】 MSD-001 手动维修开关 ×1</t>
  </si>
  <si>
    <t>【L4】 PDU-UPPER 上壳体</t>
  </si>
  <si>
    <t xml:space="preserve">【L4】 PDU-LOWER 下壳体 </t>
  </si>
  <si>
    <t>【L4 标准件】 PDU密封紧固件包</t>
  </si>
  <si>
    <t>【L2】 BMS-SYS-001 电池管理系统</t>
  </si>
  <si>
    <t>【L3】 BMS-MASTER-001 BMS主控单元</t>
  </si>
  <si>
    <t>【L4】 PCB-MASTER 主控电路板</t>
  </si>
  <si>
    <t xml:space="preserve">【L4】 HOUSING-MASTER 主控外壳 </t>
  </si>
  <si>
    <t xml:space="preserve">【L4】 CONN-MAIN 低压主接插件 </t>
  </si>
  <si>
    <t>【L3】 BMS-SLAVE-001 BMS从控采集单元</t>
  </si>
  <si>
    <t xml:space="preserve">【L4】 PCB-SLAVE 从控采集板 </t>
  </si>
  <si>
    <t xml:space="preserve">【L4】 CONN-SLAVE 采集接插件 </t>
  </si>
  <si>
    <t>【L3 零件级】 MOD-4G-001 4G云端通讯模块</t>
  </si>
  <si>
    <t>【BOM行规则】附加功能=云端通讯</t>
  </si>
  <si>
    <t>【L3】 WIRE-TEMP-001 温度采集线束</t>
  </si>
  <si>
    <t>【L4】 NTC-10K 温度传感器</t>
  </si>
  <si>
    <t>【L2】 BOX-SYS-001 箱体结构系统</t>
  </si>
  <si>
    <t>【L3】 BOX-BOTTOM-SET 下箱体总成</t>
  </si>
  <si>
    <t>【L4 组件级】 BOX-BOT-S 短款下箱体（140kWh）</t>
  </si>
  <si>
    <t>【BOM行规则】箱体规格=Short</t>
  </si>
  <si>
    <t>【L4 组件级】 BOX-BOT-L 长款下箱体（280kWh）</t>
  </si>
  <si>
    <t>【BOM行规则】箱体规格=Long</t>
  </si>
  <si>
    <t>【L3 零件级】 BOX-TOP-001 上箱盖</t>
  </si>
  <si>
    <t xml:space="preserve">【L3 零件级】 SEAL-FOAM-001 密封泡棉条 </t>
  </si>
  <si>
    <t xml:space="preserve">【L3 标准件】 BOLT-BOX-SET 箱体紧固件包 </t>
  </si>
  <si>
    <t>【L2】 AUX-SYS-001 低压辅件系统</t>
  </si>
  <si>
    <t>【L3】 WIRE-LOW-MAIN 低压主线束总成</t>
  </si>
  <si>
    <t>【L3 标准件】 FASTENER-KIT 通用标准件包 （含螺栓、螺母、扎带等）</t>
  </si>
  <si>
    <t xml:space="preserve">【L3 零件级】 LABEL-NAME 产品铭牌 </t>
  </si>
  <si>
    <t xml:space="preserve">【L3 零件级】 LABEL-WARN 警示标识 </t>
  </si>
  <si>
    <t xml:space="preserve">【L3 辅材】 ADHESIVE-STR 结构胶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</si>
</sst>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b/>
      <sz val="11"/>
      <color theme="4" tint="-0.25"/>
      <name val="宋体"/>
      <charset val="134"/>
      <scheme val="minor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B0F0"/>
      <name val="微软雅黑"/>
      <charset val="134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4" borderId="8">
      <alignment vertical="center"/>
    </xf>
    <xf numFmtId="0" fontId="16" fillId="5" borderId="9">
      <alignment vertical="center"/>
    </xf>
    <xf numFmtId="0" fontId="17" fillId="5" borderId="8">
      <alignment vertical="center"/>
    </xf>
    <xf numFmtId="0" fontId="18" fillId="6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15</xdr:row>
      <xdr:rowOff>0</xdr:rowOff>
    </xdr:to>
    <xdr:pic>
      <xdr:nvPicPr>
        <xdr:cNvPr id="2" name="ID_90B284A7384C458BBD30B3F0AA8CFD82" descr="post_object_image_1489656974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5</xdr:row>
      <xdr:rowOff>174625</xdr:rowOff>
    </xdr:to>
    <xdr:pic>
      <xdr:nvPicPr>
        <xdr:cNvPr id="3" name="ID_ADB310AE4BA342E39195E063410E8E06" descr="post_object_image_675835310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1089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297180</xdr:colOff>
      <xdr:row>36</xdr:row>
      <xdr:rowOff>76200</xdr:rowOff>
    </xdr:to>
    <xdr:pic>
      <xdr:nvPicPr>
        <xdr:cNvPr id="4" name="ID_968E30DC30214FCAAAA284D73F4E0840" descr="post_object_image_115605892"/>
        <xdr:cNvPicPr/>
      </xdr:nvPicPr>
      <xdr:blipFill>
        <a:blip r:embed="rId3"/>
        <a:stretch>
          <a:fillRect/>
        </a:stretch>
      </xdr:blipFill>
      <xdr:spPr>
        <a:xfrm>
          <a:off x="0" y="0"/>
          <a:ext cx="5852160" cy="6659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12</xdr:row>
      <xdr:rowOff>132715</xdr:rowOff>
    </xdr:to>
    <xdr:pic>
      <xdr:nvPicPr>
        <xdr:cNvPr id="5" name="ID_43E3D591C4A9407AB34A5C0C6704FD60" descr="post_object_image_1033907621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2327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7</xdr:row>
      <xdr:rowOff>74295</xdr:rowOff>
    </xdr:to>
    <xdr:pic>
      <xdr:nvPicPr>
        <xdr:cNvPr id="6" name="ID_895AE1E39B2A46AFACD286C9091571E5" descr="post_object_image_1483731598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1354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16</xdr:row>
      <xdr:rowOff>128270</xdr:rowOff>
    </xdr:to>
    <xdr:pic>
      <xdr:nvPicPr>
        <xdr:cNvPr id="7" name="ID_7773634CA6EE435EBCF400FE01FB39A6" descr="post_object_image_1437748671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305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99060</xdr:colOff>
      <xdr:row>33</xdr:row>
      <xdr:rowOff>129540</xdr:rowOff>
    </xdr:to>
    <xdr:pic>
      <xdr:nvPicPr>
        <xdr:cNvPr id="10" name="ID_11FF45B4881643A7BA278E8A627156B4" descr="post_object_image_4146293548"/>
        <xdr:cNvPicPr/>
      </xdr:nvPicPr>
      <xdr:blipFill>
        <a:blip r:embed="rId7"/>
        <a:stretch>
          <a:fillRect/>
        </a:stretch>
      </xdr:blipFill>
      <xdr:spPr>
        <a:xfrm>
          <a:off x="0" y="0"/>
          <a:ext cx="6888480" cy="6164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17</xdr:row>
      <xdr:rowOff>52070</xdr:rowOff>
    </xdr:to>
    <xdr:pic>
      <xdr:nvPicPr>
        <xdr:cNvPr id="11" name="ID_20D1F4D7AA8D4EECBBD14EE794CD5C8A" descr="post_object_image_635669467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3161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A11" workbookViewId="0">
      <selection activeCell="D17" sqref="D17"/>
    </sheetView>
  </sheetViews>
  <sheetFormatPr defaultColWidth="9" defaultRowHeight="14.4" outlineLevelCol="7"/>
  <cols>
    <col min="1" max="1" width="12.3333333333333" customWidth="1"/>
    <col min="2" max="2" width="37.4444444444444" customWidth="1"/>
    <col min="3" max="3" width="39.8611111111111" customWidth="1"/>
    <col min="4" max="4" width="31.1111111111111" customWidth="1"/>
    <col min="5" max="5" width="35.4444444444444" customWidth="1"/>
    <col min="6" max="6" width="56.5277777777778" customWidth="1"/>
    <col min="7" max="7" width="54.6666666666667" customWidth="1"/>
    <col min="8" max="8" width="30.6666666666667" customWidth="1"/>
  </cols>
  <sheetData>
    <row r="1" ht="16.2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44" customHeight="1" spans="1:8">
      <c r="A2" s="6" t="s">
        <v>8</v>
      </c>
      <c r="B2" s="7" t="s">
        <v>9</v>
      </c>
      <c r="C2" s="8"/>
      <c r="D2" s="9"/>
      <c r="E2" s="8" t="s">
        <v>10</v>
      </c>
      <c r="F2" s="8" t="s">
        <v>11</v>
      </c>
      <c r="G2" s="9"/>
      <c r="H2" s="9"/>
    </row>
    <row r="3" ht="44" customHeight="1" spans="1:8">
      <c r="A3" s="10"/>
      <c r="B3" s="7" t="s">
        <v>12</v>
      </c>
      <c r="C3" s="8" t="s">
        <v>13</v>
      </c>
      <c r="D3" s="9"/>
      <c r="E3" s="8" t="s">
        <v>14</v>
      </c>
      <c r="F3" s="8" t="s">
        <v>15</v>
      </c>
      <c r="G3" s="9"/>
      <c r="H3" s="9"/>
    </row>
    <row r="4" ht="90" customHeight="1" spans="1:8">
      <c r="A4" s="10"/>
      <c r="B4" s="7" t="s">
        <v>16</v>
      </c>
      <c r="C4" s="8" t="s">
        <v>17</v>
      </c>
      <c r="D4" s="9"/>
      <c r="E4" s="8" t="s">
        <v>14</v>
      </c>
      <c r="F4" s="8" t="s">
        <v>18</v>
      </c>
      <c r="G4" s="9"/>
      <c r="H4" s="9"/>
    </row>
    <row r="5" ht="77" customHeight="1" spans="1:8">
      <c r="A5" s="10"/>
      <c r="B5" s="7" t="s">
        <v>19</v>
      </c>
      <c r="C5" s="8" t="s">
        <v>20</v>
      </c>
      <c r="D5" s="9"/>
      <c r="E5" s="8" t="s">
        <v>14</v>
      </c>
      <c r="F5" s="8" t="s">
        <v>21</v>
      </c>
      <c r="G5" s="9"/>
      <c r="H5" s="9"/>
    </row>
    <row r="6" ht="85" customHeight="1" spans="1:8">
      <c r="A6" s="10"/>
      <c r="B6" s="7" t="s">
        <v>22</v>
      </c>
      <c r="C6" s="8" t="s">
        <v>23</v>
      </c>
      <c r="D6" s="9"/>
      <c r="E6" s="8" t="s">
        <v>14</v>
      </c>
      <c r="F6" s="8" t="s">
        <v>24</v>
      </c>
      <c r="G6" s="9"/>
      <c r="H6" s="9"/>
    </row>
    <row r="7" ht="44" customHeight="1" spans="1:8">
      <c r="A7" s="10"/>
      <c r="B7" s="7" t="s">
        <v>25</v>
      </c>
      <c r="C7" s="8" t="s">
        <v>26</v>
      </c>
      <c r="D7" s="9"/>
      <c r="E7" s="8" t="s">
        <v>27</v>
      </c>
      <c r="F7" s="8"/>
      <c r="G7" s="9"/>
      <c r="H7" s="9"/>
    </row>
    <row r="8" ht="44" customHeight="1" spans="1:8">
      <c r="A8" s="10"/>
      <c r="B8" s="6" t="s">
        <v>28</v>
      </c>
      <c r="C8" s="7" t="s">
        <v>29</v>
      </c>
      <c r="D8" s="9"/>
      <c r="E8" s="8" t="s">
        <v>30</v>
      </c>
      <c r="F8" s="8" t="s">
        <v>31</v>
      </c>
      <c r="G8" s="8" t="str">
        <f>_xlfn.DISPIMG("ID_90B284A7384C458BBD30B3F0AA8CFD82",1)</f>
        <v>=DISPIMG("ID_90B284A7384C458BBD30B3F0AA8CFD82",1)</v>
      </c>
      <c r="H8" s="9" t="str">
        <f>_xlfn.DISPIMG("ID_ADB310AE4BA342E39195E063410E8E06",1)</f>
        <v>=DISPIMG("ID_ADB310AE4BA342E39195E063410E8E06",1)</v>
      </c>
    </row>
    <row r="9" ht="62.95" spans="1:8">
      <c r="A9" s="10"/>
      <c r="B9" s="10"/>
      <c r="C9" s="7" t="s">
        <v>32</v>
      </c>
      <c r="D9" s="8"/>
      <c r="E9" s="8" t="s">
        <v>33</v>
      </c>
      <c r="F9" s="8" t="s">
        <v>31</v>
      </c>
      <c r="G9" t="str">
        <f>_xlfn.DISPIMG("ID_895AE1E39B2A46AFACD286C9091571E5",1)</f>
        <v>=DISPIMG("ID_895AE1E39B2A46AFACD286C9091571E5",1)</v>
      </c>
      <c r="H9" t="str">
        <f>_xlfn.DISPIMG("ID_7773634CA6EE435EBCF400FE01FB39A6",1)</f>
        <v>=DISPIMG("ID_7773634CA6EE435EBCF400FE01FB39A6",1)</v>
      </c>
    </row>
    <row r="10" ht="85.15" spans="1:8">
      <c r="A10" s="10"/>
      <c r="B10" s="10"/>
      <c r="C10" s="7" t="s">
        <v>34</v>
      </c>
      <c r="D10" s="8"/>
      <c r="E10" s="8" t="s">
        <v>35</v>
      </c>
      <c r="F10" s="8" t="s">
        <v>31</v>
      </c>
      <c r="G10" t="str">
        <f>_xlfn.DISPIMG("ID_43E3D591C4A9407AB34A5C0C6704FD60",1)</f>
        <v>=DISPIMG("ID_43E3D591C4A9407AB34A5C0C6704FD60",1)</v>
      </c>
    </row>
    <row r="11" ht="293.75" spans="1:8">
      <c r="A11" s="10"/>
      <c r="B11" s="10"/>
      <c r="C11" s="7" t="s">
        <v>36</v>
      </c>
      <c r="D11" s="10"/>
      <c r="E11" s="8" t="s">
        <v>37</v>
      </c>
      <c r="F11" s="8" t="s">
        <v>31</v>
      </c>
      <c r="G11" t="str">
        <f>_xlfn.DISPIMG("ID_11FF45B4881643A7BA278E8A627156B4",1)</f>
        <v>=DISPIMG("ID_11FF45B4881643A7BA278E8A627156B4",1)</v>
      </c>
      <c r="H11" t="str">
        <f>_xlfn.DISPIMG("ID_20D1F4D7AA8D4EECBBD14EE794CD5C8A",1)</f>
        <v>=DISPIMG("ID_20D1F4D7AA8D4EECBBD14EE794CD5C8A",1)</v>
      </c>
    </row>
    <row r="12" ht="372.95" spans="1:8">
      <c r="A12" s="10"/>
      <c r="B12" s="11" t="s">
        <v>38</v>
      </c>
      <c r="C12" s="8" t="s">
        <v>39</v>
      </c>
      <c r="E12" s="8" t="s">
        <v>40</v>
      </c>
      <c r="F12" s="8" t="s">
        <v>41</v>
      </c>
      <c r="G12" t="str">
        <f>_xlfn.DISPIMG("ID_968E30DC30214FCAAAA284D73F4E0840",1)</f>
        <v>=DISPIMG("ID_968E30DC30214FCAAAA284D73F4E0840",1)</v>
      </c>
    </row>
    <row r="13" spans="1:8">
      <c r="A13" s="10"/>
    </row>
    <row r="14" spans="1:8">
      <c r="A14" s="10"/>
    </row>
    <row r="15" spans="1:8">
      <c r="A15" s="10"/>
    </row>
    <row r="16" spans="1:8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</sheetData>
  <sheetProtection formatCells="0" formatColumns="0" formatRows="0" insertRows="0" insertColumns="0" insertHyperlinks="0" deleteColumns="0" deleteRows="0" sort="0" autoFilter="0" pivotTables="0"/>
  <mergeCells count="2">
    <mergeCell ref="A2:A20"/>
    <mergeCell ref="B8:B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8"/>
  <sheetViews>
    <sheetView workbookViewId="0">
      <selection activeCell="P17" sqref="P17"/>
    </sheetView>
  </sheetViews>
  <sheetFormatPr defaultColWidth="9" defaultRowHeight="14.4"/>
  <cols>
    <col min="1" max="2" width="6.88888888888889" customWidth="1"/>
    <col min="3" max="3" width="7.11111111111111" customWidth="1"/>
    <col min="8" max="8" width="6.66666666666667" customWidth="1"/>
    <col min="9" max="9" width="10.8888888888889" customWidth="1"/>
    <col min="11" max="18" width="9" customWidth="1"/>
    <col min="19" max="19" width="4.66666666666667" customWidth="1"/>
    <col min="20" max="20" width="5" customWidth="1"/>
    <col min="27" max="27" width="11.8888888888889" customWidth="1"/>
  </cols>
  <sheetData>
    <row r="1" spans="1:28">
      <c r="I1" t="s">
        <v>42</v>
      </c>
      <c r="K1" s="1" t="s">
        <v>43</v>
      </c>
    </row>
    <row r="2" spans="1:28">
      <c r="A2" t="s">
        <v>44</v>
      </c>
      <c r="K2" s="2" t="s">
        <v>45</v>
      </c>
    </row>
    <row r="3" spans="1:28">
      <c r="B3" t="s">
        <v>46</v>
      </c>
      <c r="K3" s="2" t="s">
        <v>47</v>
      </c>
    </row>
    <row r="4" spans="1:28">
      <c r="C4" t="s">
        <v>48</v>
      </c>
      <c r="I4" t="s">
        <v>49</v>
      </c>
      <c r="K4" s="2" t="s">
        <v>50</v>
      </c>
      <c r="AB4" s="3"/>
    </row>
    <row r="5" spans="1:28">
      <c r="D5" t="s">
        <v>51</v>
      </c>
      <c r="I5">
        <v>16</v>
      </c>
      <c r="L5" s="4" t="s">
        <v>52</v>
      </c>
    </row>
    <row r="6" spans="1:28">
      <c r="D6" t="s">
        <v>53</v>
      </c>
      <c r="I6">
        <v>2</v>
      </c>
      <c r="L6" t="s">
        <v>54</v>
      </c>
    </row>
    <row r="7" spans="1:28">
      <c r="D7" t="s">
        <v>55</v>
      </c>
      <c r="I7">
        <v>2</v>
      </c>
      <c r="L7" t="s">
        <v>56</v>
      </c>
    </row>
    <row r="8" spans="1:28">
      <c r="D8" t="s">
        <v>57</v>
      </c>
      <c r="I8">
        <v>1</v>
      </c>
    </row>
    <row r="9" spans="1:28">
      <c r="D9" t="s">
        <v>58</v>
      </c>
      <c r="I9">
        <v>1</v>
      </c>
    </row>
    <row r="10" spans="1:28">
      <c r="D10" t="s">
        <v>59</v>
      </c>
      <c r="I10">
        <v>8</v>
      </c>
    </row>
    <row r="11" spans="1:28">
      <c r="C11" t="s">
        <v>60</v>
      </c>
    </row>
    <row r="12" spans="1:28">
      <c r="D12" t="s">
        <v>61</v>
      </c>
      <c r="I12">
        <v>1</v>
      </c>
    </row>
    <row r="13" spans="1:28">
      <c r="D13" t="s">
        <v>62</v>
      </c>
      <c r="I13">
        <v>1</v>
      </c>
    </row>
    <row r="14" spans="1:28">
      <c r="D14" t="s">
        <v>63</v>
      </c>
      <c r="I14">
        <v>4</v>
      </c>
    </row>
    <row r="16" spans="1:28">
      <c r="B16" t="s">
        <v>64</v>
      </c>
    </row>
    <row r="17" spans="2:25">
      <c r="C17" t="s">
        <v>65</v>
      </c>
      <c r="K17" s="2" t="s">
        <v>66</v>
      </c>
      <c r="W17" s="2"/>
      <c r="X17" s="2"/>
      <c r="Y17" s="2"/>
    </row>
    <row r="18" spans="2:25">
      <c r="D18" t="s">
        <v>67</v>
      </c>
      <c r="I18">
        <v>1</v>
      </c>
      <c r="W18" s="2"/>
      <c r="X18" s="2"/>
      <c r="Y18" s="2"/>
    </row>
    <row r="19" spans="2:25">
      <c r="D19" t="s">
        <v>68</v>
      </c>
      <c r="I19">
        <v>1</v>
      </c>
      <c r="W19" s="2"/>
      <c r="X19" s="2"/>
      <c r="Y19" s="2"/>
    </row>
    <row r="20" spans="2:25">
      <c r="D20" t="s">
        <v>69</v>
      </c>
      <c r="I20">
        <v>1</v>
      </c>
      <c r="W20" s="2"/>
      <c r="X20" s="2"/>
      <c r="Y20" s="2"/>
    </row>
    <row r="21" spans="2:25">
      <c r="D21" t="s">
        <v>70</v>
      </c>
      <c r="I21">
        <v>2</v>
      </c>
      <c r="W21" s="2"/>
      <c r="X21" s="2"/>
      <c r="Y21" s="2"/>
    </row>
    <row r="22" spans="2:25">
      <c r="D22" t="s">
        <v>71</v>
      </c>
      <c r="I22">
        <v>4</v>
      </c>
      <c r="W22" s="2"/>
      <c r="X22" s="2"/>
      <c r="Y22" s="2"/>
    </row>
    <row r="23" spans="2:25">
      <c r="D23" t="s">
        <v>72</v>
      </c>
      <c r="I23">
        <v>1</v>
      </c>
      <c r="W23" s="2"/>
      <c r="X23" s="2"/>
      <c r="Y23" s="2"/>
    </row>
    <row r="24" spans="2:25">
      <c r="D24" t="s">
        <v>73</v>
      </c>
      <c r="I24">
        <v>1</v>
      </c>
      <c r="K24" s="2" t="s">
        <v>74</v>
      </c>
      <c r="W24" s="2"/>
      <c r="X24" s="2"/>
      <c r="Y24" s="2"/>
    </row>
    <row r="25" spans="2:25">
      <c r="C25" t="s">
        <v>75</v>
      </c>
      <c r="K25" s="2" t="s">
        <v>76</v>
      </c>
    </row>
    <row r="26" spans="2:25">
      <c r="D26" t="s">
        <v>77</v>
      </c>
      <c r="I26">
        <v>2</v>
      </c>
    </row>
    <row r="27" spans="2:25">
      <c r="D27" t="s">
        <v>78</v>
      </c>
      <c r="I27">
        <v>1</v>
      </c>
    </row>
    <row r="28" spans="2:25">
      <c r="D28" t="s">
        <v>79</v>
      </c>
      <c r="I28">
        <v>8</v>
      </c>
    </row>
    <row r="29" spans="2:25">
      <c r="D29" t="s">
        <v>80</v>
      </c>
      <c r="I29">
        <v>2</v>
      </c>
    </row>
    <row r="31" spans="2:25">
      <c r="B31" t="s">
        <v>81</v>
      </c>
    </row>
    <row r="32" spans="2:25">
      <c r="C32" t="s">
        <v>82</v>
      </c>
      <c r="I32">
        <v>1</v>
      </c>
    </row>
    <row r="33" spans="2:24">
      <c r="D33" t="s">
        <v>83</v>
      </c>
      <c r="I33">
        <v>1</v>
      </c>
      <c r="K33" s="2" t="s">
        <v>84</v>
      </c>
    </row>
    <row r="34" spans="2:24">
      <c r="D34" t="s">
        <v>85</v>
      </c>
      <c r="I34">
        <v>1</v>
      </c>
      <c r="K34" s="2" t="s">
        <v>86</v>
      </c>
      <c r="X34" s="3"/>
    </row>
    <row r="35" spans="2:24">
      <c r="C35" t="s">
        <v>87</v>
      </c>
      <c r="I35">
        <v>1</v>
      </c>
    </row>
    <row r="36" spans="2:24">
      <c r="D36" t="s">
        <v>88</v>
      </c>
      <c r="I36">
        <v>1</v>
      </c>
    </row>
    <row r="37" spans="2:24">
      <c r="D37" t="s">
        <v>89</v>
      </c>
      <c r="I37">
        <v>1</v>
      </c>
    </row>
    <row r="38" spans="2:24">
      <c r="C38" t="s">
        <v>90</v>
      </c>
      <c r="I38">
        <v>1</v>
      </c>
    </row>
    <row r="39" spans="2:24">
      <c r="D39" t="s">
        <v>91</v>
      </c>
      <c r="I39">
        <v>1</v>
      </c>
    </row>
    <row r="40" spans="2:24">
      <c r="D40" t="s">
        <v>92</v>
      </c>
      <c r="I40">
        <v>1</v>
      </c>
    </row>
    <row r="41" spans="2:24">
      <c r="D41" t="s">
        <v>93</v>
      </c>
      <c r="I41">
        <v>1</v>
      </c>
    </row>
    <row r="43" spans="2:24">
      <c r="B43" t="s">
        <v>94</v>
      </c>
    </row>
    <row r="44" spans="2:24">
      <c r="C44" t="s">
        <v>95</v>
      </c>
    </row>
    <row r="45" spans="2:24">
      <c r="D45" t="s">
        <v>96</v>
      </c>
      <c r="I45">
        <v>1</v>
      </c>
    </row>
    <row r="46" spans="2:24">
      <c r="D46" t="s">
        <v>97</v>
      </c>
      <c r="I46">
        <v>1</v>
      </c>
    </row>
    <row r="47" spans="2:24">
      <c r="D47" t="s">
        <v>98</v>
      </c>
      <c r="I47">
        <v>1</v>
      </c>
    </row>
    <row r="48" spans="2:24">
      <c r="C48" t="s">
        <v>99</v>
      </c>
      <c r="I48">
        <v>1</v>
      </c>
    </row>
    <row r="49" spans="2:27">
      <c r="D49" t="s">
        <v>100</v>
      </c>
      <c r="I49">
        <v>1</v>
      </c>
    </row>
    <row r="50" spans="2:27">
      <c r="D50" t="s">
        <v>101</v>
      </c>
      <c r="I50">
        <v>2</v>
      </c>
    </row>
    <row r="51" spans="2:27">
      <c r="C51" t="s">
        <v>102</v>
      </c>
      <c r="I51">
        <v>1</v>
      </c>
      <c r="K51" s="2" t="s">
        <v>103</v>
      </c>
      <c r="W51" s="3"/>
    </row>
    <row r="52" spans="2:27">
      <c r="C52" t="s">
        <v>104</v>
      </c>
      <c r="I52">
        <v>1</v>
      </c>
    </row>
    <row r="53" spans="2:27">
      <c r="D53" t="s">
        <v>105</v>
      </c>
      <c r="I53">
        <v>2</v>
      </c>
    </row>
    <row r="55" spans="2:27">
      <c r="B55" t="s">
        <v>106</v>
      </c>
    </row>
    <row r="56" spans="2:27">
      <c r="C56" t="s">
        <v>107</v>
      </c>
    </row>
    <row r="57" spans="2:27">
      <c r="D57" t="s">
        <v>108</v>
      </c>
      <c r="I57">
        <v>1</v>
      </c>
      <c r="K57" s="2" t="s">
        <v>109</v>
      </c>
    </row>
    <row r="58" spans="2:27">
      <c r="D58" t="s">
        <v>110</v>
      </c>
      <c r="I58">
        <v>1</v>
      </c>
      <c r="K58" s="2" t="s">
        <v>111</v>
      </c>
    </row>
    <row r="59" spans="2:27">
      <c r="C59" t="s">
        <v>112</v>
      </c>
      <c r="I59">
        <v>1</v>
      </c>
      <c r="X59" s="3"/>
      <c r="Y59" s="3"/>
      <c r="Z59" s="3"/>
      <c r="AA59" s="3"/>
    </row>
    <row r="60" spans="2:27">
      <c r="C60" t="s">
        <v>113</v>
      </c>
      <c r="I60">
        <v>1</v>
      </c>
    </row>
    <row r="61" spans="2:27">
      <c r="C61" t="s">
        <v>114</v>
      </c>
      <c r="I61">
        <v>1</v>
      </c>
    </row>
    <row r="63" spans="2:27">
      <c r="B63" t="s">
        <v>115</v>
      </c>
    </row>
    <row r="64" spans="2:27">
      <c r="C64" t="s">
        <v>116</v>
      </c>
      <c r="I64">
        <v>1</v>
      </c>
    </row>
    <row r="65" spans="3:9">
      <c r="C65" t="s">
        <v>117</v>
      </c>
      <c r="I65">
        <v>1</v>
      </c>
    </row>
    <row r="66" spans="3:9">
      <c r="C66" t="s">
        <v>118</v>
      </c>
      <c r="I66">
        <v>1</v>
      </c>
    </row>
    <row r="67" spans="3:9">
      <c r="C67" t="s">
        <v>119</v>
      </c>
      <c r="I67">
        <v>1</v>
      </c>
    </row>
    <row r="68" spans="3:9">
      <c r="C68" t="s">
        <v>120</v>
      </c>
      <c r="I68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智能体配置流程</vt:lpstr>
      <vt:lpstr>sheet2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严瑞强</dc:creator>
  <cp:lastModifiedBy>严瑞强</cp:lastModifiedBy>
  <dcterms:created xsi:type="dcterms:W3CDTF">2023-05-12T19:15:00Z</dcterms:created>
  <dcterms:modified xsi:type="dcterms:W3CDTF">2026-07-09T09:39:09Z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817D224B9A2B41079191DA5DCB0B8981_12</vt:lpwstr>
  </property>
  <property fmtid="{D5CDD505-2E9C-101B-9397-08002B2CF9AE}" pid="4" name="CalculationRule">
    <vt:i4>0</vt:i4>
  </property>
</Properties>
</file>